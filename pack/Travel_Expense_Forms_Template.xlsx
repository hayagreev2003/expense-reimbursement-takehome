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vel Request Form" sheetId="1" state="visible" r:id="rId3"/>
    <sheet name="Expense Settlement Form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<sst xmlns="http://schemas.openxmlformats.org/spreadsheetml/2006/main" count="150" uniqueCount="113">
  <si>
    <t xml:space="preserve">TRAVEL REQUEST FORM</t>
  </si>
  <si>
    <t xml:space="preserve">Nortex Industries Ltd  |  Form NTX-TRF-02  |  Rev Nov 2025</t>
  </si>
  <si>
    <t xml:space="preserve">Travel Request ID</t>
  </si>
  <si>
    <t xml:space="preserve">TRQ-2026-0000</t>
  </si>
  <si>
    <t xml:space="preserve">Issue Date</t>
  </si>
  <si>
    <t xml:space="preserve">1) EMPLOYEE DETAIL</t>
  </si>
  <si>
    <t xml:space="preserve">Employee Name</t>
  </si>
  <si>
    <t xml:space="preserve">Chaitanya Reddy</t>
  </si>
  <si>
    <t xml:space="preserve">Employee Code</t>
  </si>
  <si>
    <t xml:space="preserve">NX-4471</t>
  </si>
  <si>
    <t xml:space="preserve">Designation</t>
  </si>
  <si>
    <t xml:space="preserve">Manager - Key Accounts</t>
  </si>
  <si>
    <t xml:space="preserve">Department</t>
  </si>
  <si>
    <t xml:space="preserve">Sales</t>
  </si>
  <si>
    <t xml:space="preserve">Cost Centre</t>
  </si>
  <si>
    <t xml:space="preserve">CE110</t>
  </si>
  <si>
    <t xml:space="preserve">Reporting Manager</t>
  </si>
  <si>
    <t xml:space="preserve">Suresh Iyer</t>
  </si>
  <si>
    <t xml:space="preserve">2) TRAVEL DETAIL</t>
  </si>
  <si>
    <t xml:space="preserve">From Date</t>
  </si>
  <si>
    <t xml:space="preserve">16-Jun-2026</t>
  </si>
  <si>
    <t xml:space="preserve">To Date</t>
  </si>
  <si>
    <t xml:space="preserve">20-Jun-2026</t>
  </si>
  <si>
    <t xml:space="preserve">No. of Days</t>
  </si>
  <si>
    <t xml:space="preserve">5</t>
  </si>
  <si>
    <t xml:space="preserve">Travel Category</t>
  </si>
  <si>
    <t xml:space="preserve">Domestic - Tier 1</t>
  </si>
  <si>
    <t xml:space="preserve">Visiting Place / Company</t>
  </si>
  <si>
    <t xml:space="preserve">Bengaluru / Vertex Technologies</t>
  </si>
  <si>
    <t xml:space="preserve">Currency</t>
  </si>
  <si>
    <t xml:space="preserve">INR</t>
  </si>
  <si>
    <t xml:space="preserve">Purpose of Travel</t>
  </si>
  <si>
    <t xml:space="preserve">Customer meeting + site visit</t>
  </si>
  <si>
    <t xml:space="preserve">Mode of Travel</t>
  </si>
  <si>
    <t xml:space="preserve">Flight</t>
  </si>
  <si>
    <t xml:space="preserve">3) ESTIMATED COST</t>
  </si>
  <si>
    <t xml:space="preserve">Head</t>
  </si>
  <si>
    <t xml:space="preserve">Basis</t>
  </si>
  <si>
    <t xml:space="preserve">Estimate</t>
  </si>
  <si>
    <t xml:space="preserve">Borne By</t>
  </si>
  <si>
    <t xml:space="preserve">Air / Rail</t>
  </si>
  <si>
    <t xml:space="preserve">Return, economy</t>
  </si>
  <si>
    <t xml:space="preserve">Company</t>
  </si>
  <si>
    <t xml:space="preserve">Lodging</t>
  </si>
  <si>
    <t xml:space="preserve">4 nights</t>
  </si>
  <si>
    <t xml:space="preserve">Local conveyance</t>
  </si>
  <si>
    <t xml:space="preserve">Actuals</t>
  </si>
  <si>
    <t xml:space="preserve">Employee</t>
  </si>
  <si>
    <t xml:space="preserve">Meals / allowance</t>
  </si>
  <si>
    <t xml:space="preserve">As per policy</t>
  </si>
  <si>
    <t xml:space="preserve">Other</t>
  </si>
  <si>
    <t xml:space="preserve">Total estimated cost</t>
  </si>
  <si>
    <t xml:space="preserve">Travel advance requested</t>
  </si>
  <si>
    <t xml:space="preserve">4) APPROVAL WORKFLOW</t>
  </si>
  <si>
    <t xml:space="preserve">Level</t>
  </si>
  <si>
    <t xml:space="preserve">Role</t>
  </si>
  <si>
    <t xml:space="preserve">Name</t>
  </si>
  <si>
    <t xml:space="preserve">Decision</t>
  </si>
  <si>
    <t xml:space="preserve">Date</t>
  </si>
  <si>
    <t xml:space="preserve">Remarks</t>
  </si>
  <si>
    <t xml:space="preserve">1</t>
  </si>
  <si>
    <t xml:space="preserve">2</t>
  </si>
  <si>
    <t xml:space="preserve">Head of Department</t>
  </si>
  <si>
    <t xml:space="preserve">3</t>
  </si>
  <si>
    <t xml:space="preserve">Head of Division</t>
  </si>
  <si>
    <t xml:space="preserve">4</t>
  </si>
  <si>
    <t xml:space="preserve">Finance</t>
  </si>
  <si>
    <t xml:space="preserve">MD / CEO (if &gt; policy limit)</t>
  </si>
  <si>
    <t xml:space="preserve">LEGEND</t>
  </si>
  <si>
    <t xml:space="preserve">- Shaded cells are the ones that get filled in. Everything else is fixed form structure.</t>
  </si>
  <si>
    <t xml:space="preserve">- Grey italic text is one worked example, shown only to indicate expected format. Clear it before real use.</t>
  </si>
  <si>
    <t xml:space="preserve">- Total estimated cost is a formula (=SUM). Do not overwrite it with a typed number.</t>
  </si>
  <si>
    <t xml:space="preserve">- Approval levels required depend on amount and travel category - see expense_policy.md.</t>
  </si>
  <si>
    <t xml:space="preserve">TRAVEL EXPENSE SETTLEMENT FORM</t>
  </si>
  <si>
    <t xml:space="preserve">Nortex Industries Ltd  |  Form NTX-SET-02  |  Rev Nov 2025  |  To be read with the Travel Request Form</t>
  </si>
  <si>
    <t xml:space="preserve">Settlement Date</t>
  </si>
  <si>
    <t xml:space="preserve">1) LODGING</t>
  </si>
  <si>
    <t xml:space="preserve">Check In</t>
  </si>
  <si>
    <t xml:space="preserve">Check Out</t>
  </si>
  <si>
    <t xml:space="preserve">Nights</t>
  </si>
  <si>
    <t xml:space="preserve">Hotel Name</t>
  </si>
  <si>
    <t xml:space="preserve">City</t>
  </si>
  <si>
    <t xml:space="preserve">Paid By</t>
  </si>
  <si>
    <t xml:space="preserve">Amount</t>
  </si>
  <si>
    <t xml:space="preserve">Proof Ref</t>
  </si>
  <si>
    <t xml:space="preserve">Lodging total</t>
  </si>
  <si>
    <t xml:space="preserve">2) TRAVEL &amp; TRANSPORTATION</t>
  </si>
  <si>
    <t xml:space="preserve">Time</t>
  </si>
  <si>
    <t xml:space="preserve">From</t>
  </si>
  <si>
    <t xml:space="preserve">To</t>
  </si>
  <si>
    <t xml:space="preserve">Mode</t>
  </si>
  <si>
    <t xml:space="preserve">Transportation total</t>
  </si>
  <si>
    <t xml:space="preserve">3) OTHER EXPENSES  (meals, allowance, business entertainment, misc)</t>
  </si>
  <si>
    <t xml:space="preserve">Description</t>
  </si>
  <si>
    <t xml:space="preserve">Other total</t>
  </si>
  <si>
    <t xml:space="preserve">4) SETTLEMENT SUMMARY</t>
  </si>
  <si>
    <t xml:space="preserve">Total claim - paid by employee</t>
  </si>
  <si>
    <t xml:space="preserve">Total paid by company (memo only, not reimbursed)</t>
  </si>
  <si>
    <t xml:space="preserve">Less: non-reimbursable / disallowed</t>
  </si>
  <si>
    <t xml:space="preserve">Net reimbursable claim</t>
  </si>
  <si>
    <t xml:space="preserve">Less: travel advance drawn</t>
  </si>
  <si>
    <t xml:space="preserve">Amount payable to employee</t>
  </si>
  <si>
    <t xml:space="preserve">Amount recoverable from employee</t>
  </si>
  <si>
    <t xml:space="preserve">5) APPROVAL &amp; FINANCE PROCESSING</t>
  </si>
  <si>
    <t xml:space="preserve">Employee (submitted by)</t>
  </si>
  <si>
    <t xml:space="preserve">Finance - verification</t>
  </si>
  <si>
    <t xml:space="preserve">Finance - payment released</t>
  </si>
  <si>
    <t xml:space="preserve">- Shaded cells are filled in. Every unshaded total is a formula and must not be overwritten.</t>
  </si>
  <si>
    <t xml:space="preserve">- Paid By must be exactly 'Employee' or 'Company' - the settlement summary uses SUMIF on that word.</t>
  </si>
  <si>
    <t xml:space="preserve">- Only 'Employee' rows are reimbursed. 'Company' rows are recorded for audit and for policy checks only.</t>
  </si>
  <si>
    <t xml:space="preserve">- Proof Ref must point at a specific supporting document, not at 'attached mail'.</t>
  </si>
  <si>
    <t xml:space="preserve">- Disallowed items (personal expenses, out-of-policy excess) go on row 46 with a remark, they are not silently dropped.</t>
  </si>
  <si>
    <t xml:space="preserve">- Payable and recoverable are mutually exclusive - exactly one of them should be non-zero.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</si>
</sst>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BA3AF"/>
      </left>
      <right style="thin">
        <color rgb="FF9BA3AF"/>
      </right>
      <top style="thin">
        <color rgb="FF9BA3AF"/>
      </top>
      <bottom style="thin">
        <color rgb="FF9BA3A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BA3AF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7" min="5" style="0" width="14"/>
    <col collapsed="false" customWidth="true" hidden="false" outlineLevel="0" max="9" min="8" style="0" width="16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  <c r="E5" s="3" t="s">
        <v>4</v>
      </c>
      <c r="F5" s="5"/>
    </row>
    <row r="7" customFormat="false" ht="15" hidden="false" customHeight="false" outlineLevel="0" collapsed="false">
      <c r="B7" s="6" t="s">
        <v>5</v>
      </c>
      <c r="C7" s="7"/>
      <c r="D7" s="7"/>
      <c r="E7" s="7"/>
      <c r="F7" s="7"/>
      <c r="G7" s="7"/>
      <c r="H7" s="7"/>
      <c r="I7" s="7"/>
    </row>
    <row r="8" customFormat="false" ht="15" hidden="false" customHeight="false" outlineLevel="0" collapsed="false">
      <c r="B8" s="3" t="s">
        <v>6</v>
      </c>
      <c r="C8" s="4" t="s">
        <v>7</v>
      </c>
      <c r="E8" s="3" t="s">
        <v>8</v>
      </c>
      <c r="F8" s="4" t="s">
        <v>9</v>
      </c>
    </row>
    <row r="9" customFormat="false" ht="15" hidden="false" customHeight="false" outlineLevel="0" collapsed="false">
      <c r="B9" s="3" t="s">
        <v>10</v>
      </c>
      <c r="C9" s="4" t="s">
        <v>11</v>
      </c>
      <c r="E9" s="3" t="s">
        <v>12</v>
      </c>
      <c r="F9" s="4" t="s">
        <v>13</v>
      </c>
    </row>
    <row r="10" customFormat="false" ht="15" hidden="false" customHeight="false" outlineLevel="0" collapsed="false">
      <c r="B10" s="3" t="s">
        <v>14</v>
      </c>
      <c r="C10" s="4" t="s">
        <v>15</v>
      </c>
      <c r="E10" s="3" t="s">
        <v>16</v>
      </c>
      <c r="F10" s="4" t="s">
        <v>17</v>
      </c>
    </row>
    <row r="12" customFormat="false" ht="15" hidden="false" customHeight="false" outlineLevel="0" collapsed="false">
      <c r="B12" s="6" t="s">
        <v>18</v>
      </c>
      <c r="C12" s="7"/>
      <c r="D12" s="7"/>
      <c r="E12" s="7"/>
      <c r="F12" s="7"/>
      <c r="G12" s="7"/>
      <c r="H12" s="7"/>
      <c r="I12" s="7"/>
    </row>
    <row r="13" customFormat="false" ht="15" hidden="false" customHeight="false" outlineLevel="0" collapsed="false">
      <c r="B13" s="3" t="s">
        <v>19</v>
      </c>
      <c r="C13" s="4" t="s">
        <v>20</v>
      </c>
      <c r="E13" s="3" t="s">
        <v>21</v>
      </c>
      <c r="F13" s="4" t="s">
        <v>22</v>
      </c>
    </row>
    <row r="14" customFormat="false" ht="15" hidden="false" customHeight="false" outlineLevel="0" collapsed="false">
      <c r="B14" s="3" t="s">
        <v>23</v>
      </c>
      <c r="C14" s="4" t="s">
        <v>24</v>
      </c>
      <c r="E14" s="3" t="s">
        <v>25</v>
      </c>
      <c r="F14" s="4" t="s">
        <v>26</v>
      </c>
    </row>
    <row r="15" customFormat="false" ht="15" hidden="false" customHeight="false" outlineLevel="0" collapsed="false">
      <c r="B15" s="3" t="s">
        <v>27</v>
      </c>
      <c r="C15" s="4" t="s">
        <v>28</v>
      </c>
      <c r="E15" s="3" t="s">
        <v>29</v>
      </c>
      <c r="F15" s="4" t="s">
        <v>30</v>
      </c>
    </row>
    <row r="16" customFormat="false" ht="15" hidden="false" customHeight="false" outlineLevel="0" collapsed="false">
      <c r="B16" s="3" t="s">
        <v>31</v>
      </c>
      <c r="C16" s="4" t="s">
        <v>32</v>
      </c>
      <c r="E16" s="3" t="s">
        <v>33</v>
      </c>
      <c r="F16" s="4" t="s">
        <v>34</v>
      </c>
    </row>
    <row r="18" customFormat="false" ht="15" hidden="false" customHeight="false" outlineLevel="0" collapsed="false">
      <c r="B18" s="6" t="s">
        <v>35</v>
      </c>
      <c r="C18" s="7"/>
      <c r="D18" s="7"/>
      <c r="E18" s="7"/>
      <c r="F18" s="7"/>
      <c r="G18" s="7"/>
      <c r="H18" s="7"/>
      <c r="I18" s="7"/>
    </row>
    <row r="19" customFormat="false" ht="15" hidden="false" customHeight="false" outlineLevel="0" collapsed="false">
      <c r="B19" s="8" t="s">
        <v>36</v>
      </c>
      <c r="C19" s="8" t="s">
        <v>37</v>
      </c>
      <c r="D19" s="8" t="s">
        <v>38</v>
      </c>
      <c r="E19" s="8" t="s">
        <v>39</v>
      </c>
    </row>
    <row r="20" customFormat="false" ht="15" hidden="false" customHeight="false" outlineLevel="0" collapsed="false">
      <c r="B20" s="4" t="s">
        <v>40</v>
      </c>
      <c r="C20" s="4" t="s">
        <v>41</v>
      </c>
      <c r="D20" s="9" t="n">
        <v>10500</v>
      </c>
      <c r="E20" s="4" t="s">
        <v>42</v>
      </c>
    </row>
    <row r="21" customFormat="false" ht="15" hidden="false" customHeight="false" outlineLevel="0" collapsed="false">
      <c r="B21" s="4" t="s">
        <v>43</v>
      </c>
      <c r="C21" s="4" t="s">
        <v>44</v>
      </c>
      <c r="D21" s="9" t="n">
        <v>23000</v>
      </c>
      <c r="E21" s="4" t="s">
        <v>42</v>
      </c>
    </row>
    <row r="22" customFormat="false" ht="15" hidden="false" customHeight="false" outlineLevel="0" collapsed="false">
      <c r="B22" s="4" t="s">
        <v>45</v>
      </c>
      <c r="C22" s="4" t="s">
        <v>46</v>
      </c>
      <c r="D22" s="9" t="n">
        <v>4000</v>
      </c>
      <c r="E22" s="4" t="s">
        <v>47</v>
      </c>
    </row>
    <row r="23" customFormat="false" ht="15" hidden="false" customHeight="false" outlineLevel="0" collapsed="false">
      <c r="B23" s="4" t="s">
        <v>48</v>
      </c>
      <c r="C23" s="4" t="s">
        <v>49</v>
      </c>
      <c r="D23" s="9" t="n">
        <v>6000</v>
      </c>
      <c r="E23" s="4" t="s">
        <v>47</v>
      </c>
    </row>
    <row r="24" customFormat="false" ht="15" hidden="false" customHeight="false" outlineLevel="0" collapsed="false">
      <c r="B24" s="4" t="s">
        <v>50</v>
      </c>
      <c r="C24" s="4"/>
      <c r="D24" s="10"/>
      <c r="E24" s="4"/>
    </row>
    <row r="25" customFormat="false" ht="15" hidden="false" customHeight="false" outlineLevel="0" collapsed="false">
      <c r="B25" s="3" t="s">
        <v>51</v>
      </c>
      <c r="C25" s="11"/>
      <c r="D25" s="12" t="n">
        <f aca="false">SUM(D20:D24)</f>
        <v>43500</v>
      </c>
      <c r="E25" s="11"/>
    </row>
    <row r="27" customFormat="false" ht="15" hidden="false" customHeight="false" outlineLevel="0" collapsed="false">
      <c r="B27" s="3" t="s">
        <v>52</v>
      </c>
      <c r="D27" s="9" t="n">
        <v>20000</v>
      </c>
    </row>
    <row r="29" customFormat="false" ht="15" hidden="false" customHeight="false" outlineLevel="0" collapsed="false">
      <c r="B29" s="6" t="s">
        <v>53</v>
      </c>
      <c r="C29" s="7"/>
      <c r="D29" s="7"/>
      <c r="E29" s="7"/>
      <c r="F29" s="7"/>
      <c r="G29" s="7"/>
      <c r="H29" s="7"/>
      <c r="I29" s="7"/>
    </row>
    <row r="30" customFormat="false" ht="15" hidden="false" customHeight="false" outlineLevel="0" collapsed="false">
      <c r="B30" s="8" t="s">
        <v>54</v>
      </c>
      <c r="C30" s="8" t="s">
        <v>55</v>
      </c>
      <c r="D30" s="8" t="s">
        <v>56</v>
      </c>
      <c r="E30" s="8" t="s">
        <v>57</v>
      </c>
      <c r="F30" s="8" t="s">
        <v>58</v>
      </c>
      <c r="G30" s="8" t="s">
        <v>59</v>
      </c>
    </row>
    <row r="31" customFormat="false" ht="15" hidden="false" customHeight="false" outlineLevel="0" collapsed="false">
      <c r="B31" s="13" t="s">
        <v>60</v>
      </c>
      <c r="C31" s="13" t="s">
        <v>16</v>
      </c>
      <c r="D31" s="14"/>
      <c r="E31" s="14"/>
      <c r="F31" s="14"/>
      <c r="G31" s="14"/>
    </row>
    <row r="32" customFormat="false" ht="15" hidden="false" customHeight="false" outlineLevel="0" collapsed="false">
      <c r="B32" s="13" t="s">
        <v>61</v>
      </c>
      <c r="C32" s="13" t="s">
        <v>62</v>
      </c>
      <c r="D32" s="14"/>
      <c r="E32" s="14"/>
      <c r="F32" s="14"/>
      <c r="G32" s="14"/>
    </row>
    <row r="33" customFormat="false" ht="15" hidden="false" customHeight="false" outlineLevel="0" collapsed="false">
      <c r="B33" s="13" t="s">
        <v>63</v>
      </c>
      <c r="C33" s="13" t="s">
        <v>64</v>
      </c>
      <c r="D33" s="14"/>
      <c r="E33" s="14"/>
      <c r="F33" s="14"/>
      <c r="G33" s="14"/>
    </row>
    <row r="34" customFormat="false" ht="15" hidden="false" customHeight="false" outlineLevel="0" collapsed="false">
      <c r="B34" s="13" t="s">
        <v>65</v>
      </c>
      <c r="C34" s="13" t="s">
        <v>66</v>
      </c>
      <c r="D34" s="14"/>
      <c r="E34" s="14"/>
      <c r="F34" s="14"/>
      <c r="G34" s="14"/>
    </row>
    <row r="35" customFormat="false" ht="15" hidden="false" customHeight="false" outlineLevel="0" collapsed="false">
      <c r="B35" s="13" t="s">
        <v>24</v>
      </c>
      <c r="C35" s="13" t="s">
        <v>67</v>
      </c>
      <c r="D35" s="14"/>
      <c r="E35" s="14"/>
      <c r="F35" s="14"/>
      <c r="G35" s="14"/>
    </row>
    <row r="38" customFormat="false" ht="15" hidden="false" customHeight="false" outlineLevel="0" collapsed="false">
      <c r="B38" s="3" t="s">
        <v>68</v>
      </c>
    </row>
    <row r="39" customFormat="false" ht="15" hidden="false" customHeight="false" outlineLevel="0" collapsed="false">
      <c r="B39" s="2" t="s">
        <v>69</v>
      </c>
    </row>
    <row r="40" customFormat="false" ht="15" hidden="false" customHeight="false" outlineLevel="0" collapsed="false">
      <c r="B40" s="2" t="s">
        <v>70</v>
      </c>
    </row>
    <row r="41" customFormat="false" ht="15" hidden="false" customHeight="false" outlineLevel="0" collapsed="false">
      <c r="B41" s="2" t="s">
        <v>71</v>
      </c>
    </row>
    <row r="42" customFormat="false" ht="15" hidden="false" customHeight="false" outlineLevel="0" collapsed="false">
      <c r="B42" s="2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16"/>
    <col collapsed="false" customWidth="true" hidden="false" outlineLevel="0" max="10" min="10" style="0" width="14"/>
  </cols>
  <sheetData>
    <row r="2" customFormat="false" ht="17.35" hidden="false" customHeight="false" outlineLevel="0" collapsed="false">
      <c r="B2" s="1" t="s">
        <v>73</v>
      </c>
    </row>
    <row r="3" customFormat="false" ht="15" hidden="false" customHeight="false" outlineLevel="0" collapsed="false">
      <c r="B3" s="2" t="s">
        <v>74</v>
      </c>
    </row>
    <row r="5" customFormat="false" ht="15" hidden="false" customHeight="false" outlineLevel="0" collapsed="false">
      <c r="B5" s="3" t="s">
        <v>2</v>
      </c>
      <c r="C5" s="4" t="s">
        <v>3</v>
      </c>
      <c r="E5" s="3" t="s">
        <v>75</v>
      </c>
      <c r="F5" s="14"/>
    </row>
    <row r="6" customFormat="false" ht="15" hidden="false" customHeight="false" outlineLevel="0" collapsed="false">
      <c r="B6" s="3" t="s">
        <v>6</v>
      </c>
      <c r="C6" s="4" t="s">
        <v>7</v>
      </c>
      <c r="E6" s="3" t="s">
        <v>8</v>
      </c>
      <c r="F6" s="4" t="s">
        <v>9</v>
      </c>
    </row>
    <row r="7" customFormat="false" ht="15" hidden="false" customHeight="false" outlineLevel="0" collapsed="false">
      <c r="B7" s="3" t="s">
        <v>14</v>
      </c>
      <c r="C7" s="4" t="s">
        <v>15</v>
      </c>
      <c r="E7" s="3" t="s">
        <v>29</v>
      </c>
      <c r="F7" s="4" t="s">
        <v>30</v>
      </c>
    </row>
    <row r="9" customFormat="false" ht="15" hidden="false" customHeight="false" outlineLevel="0" collapsed="false">
      <c r="B9" s="6" t="s">
        <v>76</v>
      </c>
      <c r="C9" s="7"/>
      <c r="D9" s="7"/>
      <c r="E9" s="7"/>
      <c r="F9" s="7"/>
      <c r="G9" s="7"/>
      <c r="H9" s="7"/>
      <c r="I9" s="7"/>
      <c r="J9" s="7"/>
    </row>
    <row r="10" customFormat="false" ht="15" hidden="false" customHeight="false" outlineLevel="0" collapsed="false">
      <c r="B10" s="8" t="s">
        <v>77</v>
      </c>
      <c r="C10" s="8" t="s">
        <v>78</v>
      </c>
      <c r="D10" s="8" t="s">
        <v>79</v>
      </c>
      <c r="E10" s="8" t="s">
        <v>80</v>
      </c>
      <c r="F10" s="8" t="s">
        <v>81</v>
      </c>
      <c r="G10" s="8" t="s">
        <v>82</v>
      </c>
      <c r="H10" s="8" t="s">
        <v>83</v>
      </c>
      <c r="I10" s="8" t="s">
        <v>84</v>
      </c>
    </row>
    <row r="11" customFormat="false" ht="15" hidden="false" customHeight="false" outlineLevel="0" collapsed="false">
      <c r="B11" s="14"/>
      <c r="C11" s="14"/>
      <c r="D11" s="14"/>
      <c r="E11" s="14"/>
      <c r="F11" s="14"/>
      <c r="G11" s="14"/>
      <c r="H11" s="10"/>
      <c r="I11" s="14"/>
    </row>
    <row r="12" customFormat="false" ht="15" hidden="false" customHeight="false" outlineLevel="0" collapsed="false">
      <c r="B12" s="14"/>
      <c r="C12" s="14"/>
      <c r="D12" s="14"/>
      <c r="E12" s="14"/>
      <c r="F12" s="14"/>
      <c r="G12" s="14"/>
      <c r="H12" s="10"/>
      <c r="I12" s="14"/>
    </row>
    <row r="13" customFormat="false" ht="15" hidden="false" customHeight="false" outlineLevel="0" collapsed="false">
      <c r="B13" s="14"/>
      <c r="C13" s="14"/>
      <c r="D13" s="14"/>
      <c r="E13" s="14"/>
      <c r="F13" s="14"/>
      <c r="G13" s="14"/>
      <c r="H13" s="10"/>
      <c r="I13" s="14"/>
    </row>
    <row r="14" customFormat="false" ht="15" hidden="false" customHeight="false" outlineLevel="0" collapsed="false">
      <c r="B14" s="14"/>
      <c r="C14" s="14"/>
      <c r="D14" s="14"/>
      <c r="E14" s="14"/>
      <c r="F14" s="14"/>
      <c r="G14" s="14"/>
      <c r="H14" s="10"/>
      <c r="I14" s="14"/>
    </row>
    <row r="15" customFormat="false" ht="15" hidden="false" customHeight="false" outlineLevel="0" collapsed="false">
      <c r="G15" s="3" t="s">
        <v>85</v>
      </c>
      <c r="H15" s="12" t="n">
        <f aca="false">SUM(H11:H14)</f>
        <v>0</v>
      </c>
    </row>
    <row r="17" customFormat="false" ht="15" hidden="false" customHeight="false" outlineLevel="0" collapsed="false">
      <c r="B17" s="6" t="s">
        <v>86</v>
      </c>
      <c r="C17" s="7"/>
      <c r="D17" s="7"/>
      <c r="E17" s="7"/>
      <c r="F17" s="7"/>
      <c r="G17" s="7"/>
      <c r="H17" s="7"/>
      <c r="I17" s="7"/>
      <c r="J17" s="7"/>
    </row>
    <row r="18" customFormat="false" ht="15" hidden="false" customHeight="false" outlineLevel="0" collapsed="false">
      <c r="B18" s="8" t="s">
        <v>58</v>
      </c>
      <c r="C18" s="8" t="s">
        <v>87</v>
      </c>
      <c r="D18" s="8" t="s">
        <v>88</v>
      </c>
      <c r="E18" s="8" t="s">
        <v>89</v>
      </c>
      <c r="F18" s="8" t="s">
        <v>90</v>
      </c>
      <c r="G18" s="8" t="s">
        <v>82</v>
      </c>
      <c r="H18" s="8" t="s">
        <v>83</v>
      </c>
      <c r="I18" s="8" t="s">
        <v>84</v>
      </c>
    </row>
    <row r="19" customFormat="false" ht="15" hidden="false" customHeight="false" outlineLevel="0" collapsed="false">
      <c r="B19" s="14"/>
      <c r="C19" s="14"/>
      <c r="D19" s="14"/>
      <c r="E19" s="14"/>
      <c r="F19" s="14"/>
      <c r="G19" s="14"/>
      <c r="H19" s="10"/>
      <c r="I19" s="14"/>
    </row>
    <row r="20" customFormat="false" ht="15" hidden="false" customHeight="false" outlineLevel="0" collapsed="false">
      <c r="B20" s="14"/>
      <c r="C20" s="14"/>
      <c r="D20" s="14"/>
      <c r="E20" s="14"/>
      <c r="F20" s="14"/>
      <c r="G20" s="14"/>
      <c r="H20" s="10"/>
      <c r="I20" s="14"/>
    </row>
    <row r="21" customFormat="false" ht="15" hidden="false" customHeight="false" outlineLevel="0" collapsed="false">
      <c r="B21" s="14"/>
      <c r="C21" s="14"/>
      <c r="D21" s="14"/>
      <c r="E21" s="14"/>
      <c r="F21" s="14"/>
      <c r="G21" s="14"/>
      <c r="H21" s="10"/>
      <c r="I21" s="14"/>
    </row>
    <row r="22" customFormat="false" ht="15" hidden="false" customHeight="false" outlineLevel="0" collapsed="false">
      <c r="B22" s="14"/>
      <c r="C22" s="14"/>
      <c r="D22" s="14"/>
      <c r="E22" s="14"/>
      <c r="F22" s="14"/>
      <c r="G22" s="14"/>
      <c r="H22" s="10"/>
      <c r="I22" s="14"/>
    </row>
    <row r="23" customFormat="false" ht="15" hidden="false" customHeight="false" outlineLevel="0" collapsed="false">
      <c r="B23" s="14"/>
      <c r="C23" s="14"/>
      <c r="D23" s="14"/>
      <c r="E23" s="14"/>
      <c r="F23" s="14"/>
      <c r="G23" s="14"/>
      <c r="H23" s="10"/>
      <c r="I23" s="14"/>
    </row>
    <row r="24" customFormat="false" ht="15" hidden="false" customHeight="false" outlineLevel="0" collapsed="false">
      <c r="B24" s="14"/>
      <c r="C24" s="14"/>
      <c r="D24" s="14"/>
      <c r="E24" s="14"/>
      <c r="F24" s="14"/>
      <c r="G24" s="14"/>
      <c r="H24" s="10"/>
      <c r="I24" s="14"/>
    </row>
    <row r="25" customFormat="false" ht="15" hidden="false" customHeight="false" outlineLevel="0" collapsed="false">
      <c r="B25" s="14"/>
      <c r="C25" s="14"/>
      <c r="D25" s="14"/>
      <c r="E25" s="14"/>
      <c r="F25" s="14"/>
      <c r="G25" s="14"/>
      <c r="H25" s="10"/>
      <c r="I25" s="14"/>
    </row>
    <row r="26" customFormat="false" ht="15" hidden="false" customHeight="false" outlineLevel="0" collapsed="false">
      <c r="B26" s="14"/>
      <c r="C26" s="14"/>
      <c r="D26" s="14"/>
      <c r="E26" s="14"/>
      <c r="F26" s="14"/>
      <c r="G26" s="14"/>
      <c r="H26" s="10"/>
      <c r="I26" s="14"/>
    </row>
    <row r="27" customFormat="false" ht="15" hidden="false" customHeight="false" outlineLevel="0" collapsed="false">
      <c r="B27" s="14"/>
      <c r="C27" s="14"/>
      <c r="D27" s="14"/>
      <c r="E27" s="14"/>
      <c r="F27" s="14"/>
      <c r="G27" s="14"/>
      <c r="H27" s="10"/>
      <c r="I27" s="14"/>
    </row>
    <row r="28" customFormat="false" ht="15" hidden="false" customHeight="false" outlineLevel="0" collapsed="false">
      <c r="B28" s="14"/>
      <c r="C28" s="14"/>
      <c r="D28" s="14"/>
      <c r="E28" s="14"/>
      <c r="F28" s="14"/>
      <c r="G28" s="14"/>
      <c r="H28" s="10"/>
      <c r="I28" s="14"/>
    </row>
    <row r="29" customFormat="false" ht="15" hidden="false" customHeight="false" outlineLevel="0" collapsed="false">
      <c r="G29" s="3" t="s">
        <v>91</v>
      </c>
      <c r="H29" s="12" t="n">
        <f aca="false">SUM(H19:H28)</f>
        <v>0</v>
      </c>
    </row>
    <row r="31" customFormat="false" ht="15" hidden="false" customHeight="false" outlineLevel="0" collapsed="false">
      <c r="B31" s="6" t="s">
        <v>92</v>
      </c>
      <c r="C31" s="7"/>
      <c r="D31" s="7"/>
      <c r="E31" s="7"/>
      <c r="F31" s="7"/>
      <c r="G31" s="7"/>
      <c r="H31" s="7"/>
      <c r="I31" s="7"/>
      <c r="J31" s="7"/>
    </row>
    <row r="32" customFormat="false" ht="15" hidden="false" customHeight="false" outlineLevel="0" collapsed="false">
      <c r="B32" s="8" t="s">
        <v>58</v>
      </c>
      <c r="C32" s="8" t="s">
        <v>36</v>
      </c>
      <c r="D32" s="8" t="s">
        <v>93</v>
      </c>
      <c r="E32" s="8"/>
      <c r="F32" s="8"/>
      <c r="G32" s="8" t="s">
        <v>82</v>
      </c>
      <c r="H32" s="8" t="s">
        <v>83</v>
      </c>
      <c r="I32" s="8" t="s">
        <v>84</v>
      </c>
    </row>
    <row r="33" customFormat="false" ht="15" hidden="false" customHeight="false" outlineLevel="0" collapsed="false">
      <c r="B33" s="14"/>
      <c r="C33" s="14"/>
      <c r="D33" s="14"/>
      <c r="E33" s="14"/>
      <c r="F33" s="14"/>
      <c r="G33" s="14"/>
      <c r="H33" s="10"/>
      <c r="I33" s="14"/>
    </row>
    <row r="34" customFormat="false" ht="15" hidden="false" customHeight="false" outlineLevel="0" collapsed="false">
      <c r="B34" s="14"/>
      <c r="C34" s="14"/>
      <c r="D34" s="14"/>
      <c r="E34" s="14"/>
      <c r="F34" s="14"/>
      <c r="G34" s="14"/>
      <c r="H34" s="10"/>
      <c r="I34" s="14"/>
    </row>
    <row r="35" customFormat="false" ht="15" hidden="false" customHeight="false" outlineLevel="0" collapsed="false">
      <c r="B35" s="14"/>
      <c r="C35" s="14"/>
      <c r="D35" s="14"/>
      <c r="E35" s="14"/>
      <c r="F35" s="14"/>
      <c r="G35" s="14"/>
      <c r="H35" s="10"/>
      <c r="I35" s="14"/>
    </row>
    <row r="36" customFormat="false" ht="15" hidden="false" customHeight="false" outlineLevel="0" collapsed="false">
      <c r="B36" s="14"/>
      <c r="C36" s="14"/>
      <c r="D36" s="14"/>
      <c r="E36" s="14"/>
      <c r="F36" s="14"/>
      <c r="G36" s="14"/>
      <c r="H36" s="10"/>
      <c r="I36" s="14"/>
    </row>
    <row r="37" customFormat="false" ht="15" hidden="false" customHeight="false" outlineLevel="0" collapsed="false">
      <c r="B37" s="14"/>
      <c r="C37" s="14"/>
      <c r="D37" s="14"/>
      <c r="E37" s="14"/>
      <c r="F37" s="14"/>
      <c r="G37" s="14"/>
      <c r="H37" s="10"/>
      <c r="I37" s="14"/>
    </row>
    <row r="38" customFormat="false" ht="15" hidden="false" customHeight="false" outlineLevel="0" collapsed="false">
      <c r="B38" s="14"/>
      <c r="C38" s="14"/>
      <c r="D38" s="14"/>
      <c r="E38" s="14"/>
      <c r="F38" s="14"/>
      <c r="G38" s="14"/>
      <c r="H38" s="10"/>
      <c r="I38" s="14"/>
    </row>
    <row r="39" customFormat="false" ht="15" hidden="false" customHeight="false" outlineLevel="0" collapsed="false">
      <c r="B39" s="14"/>
      <c r="C39" s="14"/>
      <c r="D39" s="14"/>
      <c r="E39" s="14"/>
      <c r="F39" s="14"/>
      <c r="G39" s="14"/>
      <c r="H39" s="10"/>
      <c r="I39" s="14"/>
    </row>
    <row r="40" customFormat="false" ht="15" hidden="false" customHeight="false" outlineLevel="0" collapsed="false">
      <c r="B40" s="14"/>
      <c r="C40" s="14"/>
      <c r="D40" s="14"/>
      <c r="E40" s="14"/>
      <c r="F40" s="14"/>
      <c r="G40" s="14"/>
      <c r="H40" s="10"/>
      <c r="I40" s="14"/>
    </row>
    <row r="41" customFormat="false" ht="15" hidden="false" customHeight="false" outlineLevel="0" collapsed="false">
      <c r="G41" s="3" t="s">
        <v>94</v>
      </c>
      <c r="H41" s="12" t="n">
        <f aca="false">SUM(H33:H40)</f>
        <v>0</v>
      </c>
    </row>
    <row r="43" customFormat="false" ht="15" hidden="false" customHeight="false" outlineLevel="0" collapsed="false">
      <c r="B43" s="6" t="s">
        <v>95</v>
      </c>
      <c r="C43" s="7"/>
      <c r="D43" s="7"/>
      <c r="E43" s="7"/>
      <c r="F43" s="7"/>
      <c r="G43" s="7"/>
      <c r="H43" s="7"/>
      <c r="I43" s="7"/>
      <c r="J43" s="7"/>
    </row>
    <row r="44" customFormat="false" ht="15" hidden="false" customHeight="false" outlineLevel="0" collapsed="false">
      <c r="B44" s="3" t="s">
        <v>96</v>
      </c>
      <c r="H44" s="15" t="n">
        <f aca="false">SUMIF(G11:G14,"Employee",H11:H14)+SUMIF(G19:G28,"Employee",H19:H28)+SUMIF(G33:G40,"Employee",H33:H40)</f>
        <v>0</v>
      </c>
    </row>
    <row r="45" customFormat="false" ht="15" hidden="false" customHeight="false" outlineLevel="0" collapsed="false">
      <c r="B45" s="3" t="s">
        <v>97</v>
      </c>
      <c r="H45" s="15" t="n">
        <f aca="false">SUMIF(G11:G14,"Company",H11:H14)+SUMIF(G19:G28,"Company",H19:H28)+SUMIF(G33:G40,"Company",H33:H40)</f>
        <v>0</v>
      </c>
    </row>
    <row r="46" customFormat="false" ht="15" hidden="false" customHeight="false" outlineLevel="0" collapsed="false">
      <c r="B46" s="3" t="s">
        <v>98</v>
      </c>
      <c r="H46" s="10" t="n">
        <v>0</v>
      </c>
    </row>
    <row r="47" customFormat="false" ht="15" hidden="false" customHeight="false" outlineLevel="0" collapsed="false">
      <c r="B47" s="3" t="s">
        <v>99</v>
      </c>
      <c r="H47" s="15" t="n">
        <f aca="false">H44-H46</f>
        <v>0</v>
      </c>
    </row>
    <row r="48" customFormat="false" ht="15" hidden="false" customHeight="false" outlineLevel="0" collapsed="false">
      <c r="B48" s="3" t="s">
        <v>100</v>
      </c>
      <c r="H48" s="10" t="n">
        <v>0</v>
      </c>
    </row>
    <row r="49" customFormat="false" ht="15" hidden="false" customHeight="false" outlineLevel="0" collapsed="false">
      <c r="B49" s="3" t="s">
        <v>101</v>
      </c>
      <c r="H49" s="12" t="n">
        <f aca="false">IF(H47-H48&gt;0,H47-H48,0)</f>
        <v>0</v>
      </c>
    </row>
    <row r="50" customFormat="false" ht="15" hidden="false" customHeight="false" outlineLevel="0" collapsed="false">
      <c r="B50" s="3" t="s">
        <v>102</v>
      </c>
      <c r="H50" s="12" t="n">
        <f aca="false">IF(H48-H47&gt;0,H48-H47,0)</f>
        <v>0</v>
      </c>
    </row>
    <row r="52" customFormat="false" ht="15" hidden="false" customHeight="false" outlineLevel="0" collapsed="false">
      <c r="B52" s="6" t="s">
        <v>103</v>
      </c>
      <c r="C52" s="7"/>
      <c r="D52" s="7"/>
      <c r="E52" s="7"/>
      <c r="F52" s="7"/>
      <c r="G52" s="7"/>
      <c r="H52" s="7"/>
      <c r="I52" s="7"/>
      <c r="J52" s="7"/>
    </row>
    <row r="53" customFormat="false" ht="15" hidden="false" customHeight="false" outlineLevel="0" collapsed="false">
      <c r="B53" s="8" t="s">
        <v>54</v>
      </c>
      <c r="C53" s="8" t="s">
        <v>55</v>
      </c>
      <c r="D53" s="8" t="s">
        <v>56</v>
      </c>
      <c r="E53" s="8" t="s">
        <v>57</v>
      </c>
      <c r="F53" s="8" t="s">
        <v>58</v>
      </c>
      <c r="G53" s="8" t="s">
        <v>59</v>
      </c>
    </row>
    <row r="54" customFormat="false" ht="15" hidden="false" customHeight="false" outlineLevel="0" collapsed="false">
      <c r="B54" s="13" t="s">
        <v>60</v>
      </c>
      <c r="C54" s="13" t="s">
        <v>104</v>
      </c>
      <c r="D54" s="14"/>
      <c r="E54" s="14"/>
      <c r="F54" s="14"/>
      <c r="G54" s="14"/>
    </row>
    <row r="55" customFormat="false" ht="15" hidden="false" customHeight="false" outlineLevel="0" collapsed="false">
      <c r="B55" s="13" t="s">
        <v>61</v>
      </c>
      <c r="C55" s="13" t="s">
        <v>16</v>
      </c>
      <c r="D55" s="14"/>
      <c r="E55" s="14"/>
      <c r="F55" s="14"/>
      <c r="G55" s="14"/>
    </row>
    <row r="56" customFormat="false" ht="15" hidden="false" customHeight="false" outlineLevel="0" collapsed="false">
      <c r="B56" s="13" t="s">
        <v>63</v>
      </c>
      <c r="C56" s="13" t="s">
        <v>62</v>
      </c>
      <c r="D56" s="14"/>
      <c r="E56" s="14"/>
      <c r="F56" s="14"/>
      <c r="G56" s="14"/>
    </row>
    <row r="57" customFormat="false" ht="15" hidden="false" customHeight="false" outlineLevel="0" collapsed="false">
      <c r="B57" s="13" t="s">
        <v>65</v>
      </c>
      <c r="C57" s="13" t="s">
        <v>105</v>
      </c>
      <c r="D57" s="14"/>
      <c r="E57" s="14"/>
      <c r="F57" s="14"/>
      <c r="G57" s="14"/>
    </row>
    <row r="58" customFormat="false" ht="15" hidden="false" customHeight="false" outlineLevel="0" collapsed="false">
      <c r="B58" s="13" t="s">
        <v>24</v>
      </c>
      <c r="C58" s="13" t="s">
        <v>106</v>
      </c>
      <c r="D58" s="14"/>
      <c r="E58" s="14"/>
      <c r="F58" s="14"/>
      <c r="G58" s="14"/>
    </row>
    <row r="61" customFormat="false" ht="15" hidden="false" customHeight="false" outlineLevel="0" collapsed="false">
      <c r="B61" s="3" t="s">
        <v>68</v>
      </c>
    </row>
    <row r="62" customFormat="false" ht="15" hidden="false" customHeight="false" outlineLevel="0" collapsed="false">
      <c r="B62" s="2" t="s">
        <v>107</v>
      </c>
    </row>
    <row r="63" customFormat="false" ht="15" hidden="false" customHeight="false" outlineLevel="0" collapsed="false">
      <c r="B63" s="2" t="s">
        <v>108</v>
      </c>
    </row>
    <row r="64" customFormat="false" ht="15" hidden="false" customHeight="false" outlineLevel="0" collapsed="false">
      <c r="B64" s="2" t="s">
        <v>109</v>
      </c>
    </row>
    <row r="65" customFormat="false" ht="15" hidden="false" customHeight="false" outlineLevel="0" collapsed="false">
      <c r="B65" s="2" t="s">
        <v>110</v>
      </c>
    </row>
    <row r="66" customFormat="false" ht="15" hidden="false" customHeight="false" outlineLevel="0" collapsed="false">
      <c r="B66" s="2" t="s">
        <v>111</v>
      </c>
    </row>
    <row r="67" customFormat="false" ht="15" hidden="false" customHeight="false" outlineLevel="0" collapsed="false">
      <c r="B67" s="2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2026-09-02T10:44:16Z</dcterms:created>
  <dc:creator>openpyxl</dc:creator>
  <dc:description/>
  <dc:language>en-US</dc:language>
  <cp:lastModifiedBy/>
  <dcterms:modified xsi:type="dcterms:W3CDTF">2026-09-02T10:44:16Z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